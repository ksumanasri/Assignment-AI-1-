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mana Sri\Downloads\"/>
    </mc:Choice>
  </mc:AlternateContent>
  <xr:revisionPtr revIDLastSave="0" documentId="13_ncr:20001_{821313EB-F9F0-4733-B3A7-2E560A16CF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udent Mark Table" sheetId="1" r:id="rId1"/>
    <sheet name="Detailed Calculations" sheetId="2" r:id="rId2"/>
    <sheet name="Exercise Details" sheetId="3" r:id="rId3"/>
  </sheets>
  <definedNames>
    <definedName name="_xlnm._FilterDatabase" localSheetId="1" hidden="1">'Detailed Calculations'!$A$1:$H$26</definedName>
    <definedName name="_xlnm._FilterDatabase" localSheetId="0" hidden="1">'Student Mark Table'!$A$6:$K$11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2" l="1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K12" i="1"/>
  <c r="G12" i="1"/>
  <c r="F12" i="1"/>
  <c r="E12" i="1"/>
  <c r="D12" i="1"/>
  <c r="C12" i="1"/>
  <c r="K11" i="1"/>
  <c r="H11" i="1"/>
  <c r="I11" i="1" s="1"/>
  <c r="J11" i="1" s="1"/>
  <c r="K10" i="1"/>
  <c r="H10" i="1"/>
  <c r="I10" i="1" s="1"/>
  <c r="J10" i="1" s="1"/>
  <c r="K9" i="1"/>
  <c r="H9" i="1"/>
  <c r="I9" i="1" s="1"/>
  <c r="J9" i="1" s="1"/>
  <c r="K8" i="1"/>
  <c r="H8" i="1"/>
  <c r="I8" i="1" s="1"/>
  <c r="J8" i="1" s="1"/>
  <c r="K7" i="1"/>
  <c r="H7" i="1"/>
  <c r="H12" i="1" s="1"/>
  <c r="I7" i="1" l="1"/>
  <c r="I12" i="1" l="1"/>
  <c r="J12" i="1" s="1"/>
  <c r="J7" i="1"/>
</calcChain>
</file>

<file path=xl/sharedStrings.xml><?xml version="1.0" encoding="utf-8"?>
<sst xmlns="http://schemas.openxmlformats.org/spreadsheetml/2006/main" count="100" uniqueCount="49">
  <si>
    <t>PRACTICE EXERCISE – 3 : STUDENT MARK TABLE</t>
  </si>
  <si>
    <t>Exercise No.</t>
  </si>
  <si>
    <t>3</t>
  </si>
  <si>
    <t>Topic</t>
  </si>
  <si>
    <t>Student Mark Table</t>
  </si>
  <si>
    <t>Requirement</t>
  </si>
  <si>
    <t>5 Students × 5 Subjects</t>
  </si>
  <si>
    <t>Maximum per Subject</t>
  </si>
  <si>
    <t>100</t>
  </si>
  <si>
    <t>S.No.</t>
  </si>
  <si>
    <t>Student Name</t>
  </si>
  <si>
    <t>Artificial Intelligence</t>
  </si>
  <si>
    <t>Deep Learning</t>
  </si>
  <si>
    <t>Data Structures &amp; Algorithms</t>
  </si>
  <si>
    <t>Internet of Things</t>
  </si>
  <si>
    <t>AI Tools &amp; Applications</t>
  </si>
  <si>
    <t>Total / 500</t>
  </si>
  <si>
    <t>Percentage</t>
  </si>
  <si>
    <t>Grade</t>
  </si>
  <si>
    <t>Result</t>
  </si>
  <si>
    <t>CLASS AVERAGE</t>
  </si>
  <si>
    <t>FORMULAS USED</t>
  </si>
  <si>
    <t>1. Total = SUM of the five subject marks.</t>
  </si>
  <si>
    <t>2. Percentage = (Total ÷ 500) × 100.</t>
  </si>
  <si>
    <t>3. Grade = A+ (≥90), A (80–89), B+ (70–79), B (60–69), C (50–59), F (&lt;50).</t>
  </si>
  <si>
    <t>4. Result = PASS when every subject mark is at least 40; otherwise FAIL.</t>
  </si>
  <si>
    <t>RESULT</t>
  </si>
  <si>
    <t>Student mark table created successfully with formatting, borders, alignment and formulas.</t>
  </si>
  <si>
    <t>CONCLUSION</t>
  </si>
  <si>
    <t>The exercise demonstrates organized data entry and automatic calculation using Excel.</t>
  </si>
  <si>
    <t>Subject</t>
  </si>
  <si>
    <t>Maximum Marks</t>
  </si>
  <si>
    <t>Marks Obtained</t>
  </si>
  <si>
    <t>PRACTICE EXERCISE – 3</t>
  </si>
  <si>
    <t>Question</t>
  </si>
  <si>
    <t>Create a student mark table for 5 subjects and apply formatting, borders, and alignment.</t>
  </si>
  <si>
    <t>Completed</t>
  </si>
  <si>
    <t>5 students, 5 subjects, marks, total, percentage, grade, result, formatting, borders and alignment.</t>
  </si>
  <si>
    <t>Note</t>
  </si>
  <si>
    <t>Names and marks are sample data for demonstrating the practical exercise.</t>
  </si>
  <si>
    <t>Rahul</t>
  </si>
  <si>
    <t xml:space="preserve"> Priya</t>
  </si>
  <si>
    <t>Anjali</t>
  </si>
  <si>
    <t>Kiran</t>
  </si>
  <si>
    <t>Arjun</t>
  </si>
  <si>
    <t xml:space="preserve"> Rahul</t>
  </si>
  <si>
    <t>Priya</t>
  </si>
  <si>
    <t xml:space="preserve"> Anjali</t>
  </si>
  <si>
    <t xml:space="preserve"> 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</si>
</sst>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/>
    <xf numFmtId="0" fontId="2" fillId="0" borderId="2" xfId="0" applyFont="1" applyBorder="1"/>
    <xf numFmtId="0" fontId="5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/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showGridLines="0" tabSelected="1" workbookViewId="0">
      <selection activeCell="E3" sqref="E3"/>
    </sheetView>
  </sheetViews>
  <sheetFormatPr defaultRowHeight="14.5" x14ac:dyDescent="0.35"/>
  <cols>
    <col min="1" max="1" width="13.81640625" customWidth="1"/>
    <col min="2" max="2" width="24" customWidth="1"/>
    <col min="3" max="3" width="20" customWidth="1"/>
    <col min="4" max="4" width="18" customWidth="1"/>
    <col min="5" max="5" width="27" customWidth="1"/>
    <col min="6" max="6" width="20" customWidth="1"/>
    <col min="7" max="7" width="23" customWidth="1"/>
    <col min="8" max="9" width="14" customWidth="1"/>
    <col min="10" max="11" width="12" customWidth="1"/>
  </cols>
  <sheetData>
    <row r="1" spans="1:11" ht="30" customHeight="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35">
      <c r="A3" s="14" t="s">
        <v>1</v>
      </c>
      <c r="B3" s="17" t="s">
        <v>2</v>
      </c>
      <c r="C3" s="16" t="s">
        <v>3</v>
      </c>
      <c r="D3" s="15" t="s">
        <v>4</v>
      </c>
      <c r="E3" s="13"/>
      <c r="F3" s="13"/>
      <c r="G3" s="13"/>
      <c r="H3" s="13"/>
      <c r="I3" s="13"/>
      <c r="J3" s="13"/>
      <c r="K3" s="13"/>
    </row>
    <row r="4" spans="1:11" x14ac:dyDescent="0.35">
      <c r="A4" s="14" t="s">
        <v>5</v>
      </c>
      <c r="B4" s="17" t="s">
        <v>6</v>
      </c>
      <c r="C4" s="14" t="s">
        <v>7</v>
      </c>
      <c r="D4" s="17" t="s">
        <v>8</v>
      </c>
      <c r="E4" s="13"/>
      <c r="F4" s="13"/>
      <c r="G4" s="13"/>
      <c r="H4" s="13"/>
      <c r="I4" s="13"/>
      <c r="J4" s="13"/>
      <c r="K4" s="13"/>
    </row>
    <row r="5" spans="1:1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 ht="44" customHeight="1" x14ac:dyDescent="0.35">
      <c r="A6" s="10" t="s">
        <v>9</v>
      </c>
      <c r="B6" s="10" t="s">
        <v>10</v>
      </c>
      <c r="C6" s="10" t="s">
        <v>11</v>
      </c>
      <c r="D6" s="10" t="s">
        <v>12</v>
      </c>
      <c r="E6" s="10" t="s">
        <v>13</v>
      </c>
      <c r="F6" s="10" t="s">
        <v>14</v>
      </c>
      <c r="G6" s="10" t="s">
        <v>15</v>
      </c>
      <c r="H6" s="10" t="s">
        <v>16</v>
      </c>
      <c r="I6" s="10" t="s">
        <v>17</v>
      </c>
      <c r="J6" s="10" t="s">
        <v>18</v>
      </c>
      <c r="K6" s="10" t="s">
        <v>19</v>
      </c>
    </row>
    <row r="7" spans="1:11" ht="24" customHeight="1" x14ac:dyDescent="0.35">
      <c r="A7" s="3">
        <v>1</v>
      </c>
      <c r="B7" s="3" t="s">
        <v>40</v>
      </c>
      <c r="C7" s="3">
        <v>82</v>
      </c>
      <c r="D7" s="3">
        <v>88</v>
      </c>
      <c r="E7" s="3">
        <v>76</v>
      </c>
      <c r="F7" s="3">
        <v>84</v>
      </c>
      <c r="G7" s="3">
        <v>90</v>
      </c>
      <c r="H7" s="3">
        <f>SUM(C7:G7)</f>
        <v>420</v>
      </c>
      <c r="I7" s="4">
        <f>H7/500*100</f>
        <v>84</v>
      </c>
      <c r="J7" s="3" t="str">
        <f t="shared" ref="J7:J12" si="0">IF(I7&gt;=90,"A+",IF(I7&gt;=80,"A",IF(I7&gt;=70,"B+",IF(I7&gt;=60,"B",IF(I7&gt;=50,"C","F")))))</f>
        <v>A</v>
      </c>
      <c r="K7" s="3" t="str">
        <f>IF(MIN(C7:G7)&gt;=40,"PASS","FAIL")</f>
        <v>PASS</v>
      </c>
    </row>
    <row r="8" spans="1:11" ht="24" customHeight="1" x14ac:dyDescent="0.35">
      <c r="A8" s="3">
        <v>2</v>
      </c>
      <c r="B8" s="3" t="s">
        <v>41</v>
      </c>
      <c r="C8" s="3">
        <v>91</v>
      </c>
      <c r="D8" s="3">
        <v>94</v>
      </c>
      <c r="E8" s="3">
        <v>89</v>
      </c>
      <c r="F8" s="3">
        <v>92</v>
      </c>
      <c r="G8" s="3">
        <v>96</v>
      </c>
      <c r="H8" s="3">
        <f>SUM(C8:G8)</f>
        <v>462</v>
      </c>
      <c r="I8" s="4">
        <f>H8/500*100</f>
        <v>92.4</v>
      </c>
      <c r="J8" s="3" t="str">
        <f t="shared" si="0"/>
        <v>A+</v>
      </c>
      <c r="K8" s="3" t="str">
        <f>IF(MIN(C8:G8)&gt;=40,"PASS","FAIL")</f>
        <v>PASS</v>
      </c>
    </row>
    <row r="9" spans="1:11" ht="24" customHeight="1" x14ac:dyDescent="0.35">
      <c r="A9" s="3">
        <v>3</v>
      </c>
      <c r="B9" s="3" t="s">
        <v>42</v>
      </c>
      <c r="C9" s="3">
        <v>78</v>
      </c>
      <c r="D9" s="3">
        <v>85</v>
      </c>
      <c r="E9" s="3">
        <v>81</v>
      </c>
      <c r="F9" s="3">
        <v>79</v>
      </c>
      <c r="G9" s="3">
        <v>88</v>
      </c>
      <c r="H9" s="3">
        <f>SUM(C9:G9)</f>
        <v>411</v>
      </c>
      <c r="I9" s="4">
        <f>H9/500*100</f>
        <v>82.199999999999989</v>
      </c>
      <c r="J9" s="3" t="str">
        <f t="shared" si="0"/>
        <v>A</v>
      </c>
      <c r="K9" s="3" t="str">
        <f>IF(MIN(C9:G9)&gt;=40,"PASS","FAIL")</f>
        <v>PASS</v>
      </c>
    </row>
    <row r="10" spans="1:11" ht="24" customHeight="1" x14ac:dyDescent="0.35">
      <c r="A10" s="3">
        <v>4</v>
      </c>
      <c r="B10" s="3" t="s">
        <v>43</v>
      </c>
      <c r="C10" s="3">
        <v>86</v>
      </c>
      <c r="D10" s="3">
        <v>83</v>
      </c>
      <c r="E10" s="3">
        <v>90</v>
      </c>
      <c r="F10" s="3">
        <v>87</v>
      </c>
      <c r="G10" s="3">
        <v>91</v>
      </c>
      <c r="H10" s="3">
        <f>SUM(C10:G10)</f>
        <v>437</v>
      </c>
      <c r="I10" s="4">
        <f>H10/500*100</f>
        <v>87.4</v>
      </c>
      <c r="J10" s="3" t="str">
        <f t="shared" si="0"/>
        <v>A</v>
      </c>
      <c r="K10" s="3" t="str">
        <f>IF(MIN(C10:G10)&gt;=40,"PASS","FAIL")</f>
        <v>PASS</v>
      </c>
    </row>
    <row r="11" spans="1:11" ht="24" customHeight="1" x14ac:dyDescent="0.35">
      <c r="A11" s="3">
        <v>5</v>
      </c>
      <c r="B11" s="3" t="s">
        <v>44</v>
      </c>
      <c r="C11" s="3">
        <v>74</v>
      </c>
      <c r="D11" s="3">
        <v>80</v>
      </c>
      <c r="E11" s="3">
        <v>77</v>
      </c>
      <c r="F11" s="3">
        <v>82</v>
      </c>
      <c r="G11" s="3">
        <v>85</v>
      </c>
      <c r="H11" s="3">
        <f>SUM(C11:G11)</f>
        <v>398</v>
      </c>
      <c r="I11" s="4">
        <f>H11/500*100</f>
        <v>79.600000000000009</v>
      </c>
      <c r="J11" s="3" t="str">
        <f t="shared" si="0"/>
        <v>B+</v>
      </c>
      <c r="K11" s="3" t="str">
        <f>IF(MIN(C11:G11)&gt;=40,"PASS","FAIL")</f>
        <v>PASS</v>
      </c>
    </row>
    <row r="12" spans="1:11" ht="24" customHeight="1" x14ac:dyDescent="0.35">
      <c r="A12" s="5"/>
      <c r="B12" s="5" t="s">
        <v>20</v>
      </c>
      <c r="C12" s="5">
        <f t="shared" ref="C12:I12" si="1">AVERAGE(C7:C11)</f>
        <v>82.2</v>
      </c>
      <c r="D12" s="5">
        <f t="shared" si="1"/>
        <v>86</v>
      </c>
      <c r="E12" s="5">
        <f t="shared" si="1"/>
        <v>82.6</v>
      </c>
      <c r="F12" s="5">
        <f t="shared" si="1"/>
        <v>84.8</v>
      </c>
      <c r="G12" s="5">
        <f t="shared" si="1"/>
        <v>90</v>
      </c>
      <c r="H12" s="5">
        <f t="shared" si="1"/>
        <v>425.6</v>
      </c>
      <c r="I12" s="6">
        <f t="shared" si="1"/>
        <v>85.12</v>
      </c>
      <c r="J12" s="5" t="str">
        <f t="shared" si="0"/>
        <v>A</v>
      </c>
      <c r="K12" s="5" t="str">
        <f>IF(MIN(C7:G11)&gt;=40,"PASS","PASS")</f>
        <v>PASS</v>
      </c>
    </row>
    <row r="13" spans="1:1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.5" x14ac:dyDescent="0.35">
      <c r="A14" s="7" t="s">
        <v>21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1" t="s">
        <v>22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" t="s">
        <v>23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5">
      <c r="A17" s="1" t="s">
        <v>24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A18" s="1" t="s">
        <v>25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5">
      <c r="A20" s="8" t="s">
        <v>26</v>
      </c>
      <c r="B20" s="1" t="s">
        <v>27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8" t="s">
        <v>28</v>
      </c>
      <c r="B21" s="1" t="s">
        <v>29</v>
      </c>
      <c r="C21" s="1"/>
      <c r="D21" s="1"/>
      <c r="E21" s="1"/>
      <c r="F21" s="1"/>
      <c r="G21" s="1"/>
      <c r="H21" s="1"/>
      <c r="I21" s="1"/>
      <c r="J21" s="1"/>
      <c r="K21" s="1"/>
    </row>
  </sheetData>
  <autoFilter ref="A6:K11" xr:uid="{00000000-0009-0000-0000-000000000000}"/>
  <mergeCells count="1">
    <mergeCell ref="A1:K1"/>
  </mergeCells>
  <pageMargins left="0.25" right="0.25" top="0.4" bottom="0.4" header="0.5" footer="0.5"/>
  <pageSetup orientation="landscape"/>
  <ignoredErrors>
    <ignoredError sqref="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showGridLines="0" topLeftCell="A9" workbookViewId="0">
      <selection activeCell="B26" sqref="B26"/>
    </sheetView>
  </sheetViews>
  <sheetFormatPr defaultRowHeight="14.5" x14ac:dyDescent="0.35"/>
  <cols>
    <col min="1" max="1" width="8" customWidth="1"/>
    <col min="2" max="2" width="24" customWidth="1"/>
    <col min="3" max="3" width="32" customWidth="1"/>
    <col min="4" max="4" width="17" customWidth="1"/>
    <col min="5" max="5" width="18" customWidth="1"/>
    <col min="6" max="6" width="14" customWidth="1"/>
    <col min="7" max="8" width="12" customWidth="1"/>
  </cols>
  <sheetData>
    <row r="1" spans="1:8" x14ac:dyDescent="0.35">
      <c r="A1" s="2" t="s">
        <v>9</v>
      </c>
      <c r="B1" s="2" t="s">
        <v>10</v>
      </c>
      <c r="C1" s="2" t="s">
        <v>30</v>
      </c>
      <c r="D1" s="2" t="s">
        <v>31</v>
      </c>
      <c r="E1" s="2" t="s">
        <v>32</v>
      </c>
      <c r="F1" s="2" t="s">
        <v>17</v>
      </c>
      <c r="G1" s="2" t="s">
        <v>18</v>
      </c>
      <c r="H1" s="2" t="s">
        <v>19</v>
      </c>
    </row>
    <row r="2" spans="1:8" x14ac:dyDescent="0.35">
      <c r="A2" s="3">
        <v>1</v>
      </c>
      <c r="B2" s="3" t="s">
        <v>45</v>
      </c>
      <c r="C2" s="3" t="s">
        <v>11</v>
      </c>
      <c r="D2" s="3">
        <v>100</v>
      </c>
      <c r="E2" s="3">
        <v>82</v>
      </c>
      <c r="F2" s="4">
        <f t="shared" ref="F2:F26" si="0">E2/D2*100</f>
        <v>82</v>
      </c>
      <c r="G2" s="3" t="str">
        <f t="shared" ref="G2:G26" si="1">IF(E2&gt;=90,"A+",IF(E2&gt;=80,"A",IF(E2&gt;=70,"B+",IF(E2&gt;=60,"B",IF(E2&gt;=50,"C","F")))))</f>
        <v>A</v>
      </c>
      <c r="H2" s="3" t="str">
        <f t="shared" ref="H2:H26" si="2">IF(E2&gt;=40,"PASS","FAIL")</f>
        <v>PASS</v>
      </c>
    </row>
    <row r="3" spans="1:8" x14ac:dyDescent="0.35">
      <c r="A3" s="3">
        <v>1</v>
      </c>
      <c r="B3" s="3" t="s">
        <v>45</v>
      </c>
      <c r="C3" s="3" t="s">
        <v>12</v>
      </c>
      <c r="D3" s="3">
        <v>100</v>
      </c>
      <c r="E3" s="3">
        <v>88</v>
      </c>
      <c r="F3" s="4">
        <f t="shared" si="0"/>
        <v>88</v>
      </c>
      <c r="G3" s="3" t="str">
        <f t="shared" si="1"/>
        <v>A</v>
      </c>
      <c r="H3" s="3" t="str">
        <f t="shared" si="2"/>
        <v>PASS</v>
      </c>
    </row>
    <row r="4" spans="1:8" x14ac:dyDescent="0.35">
      <c r="A4" s="3">
        <v>1</v>
      </c>
      <c r="B4" s="3" t="s">
        <v>40</v>
      </c>
      <c r="C4" s="3" t="s">
        <v>13</v>
      </c>
      <c r="D4" s="3">
        <v>100</v>
      </c>
      <c r="E4" s="3">
        <v>76</v>
      </c>
      <c r="F4" s="4">
        <f t="shared" si="0"/>
        <v>76</v>
      </c>
      <c r="G4" s="3" t="str">
        <f t="shared" si="1"/>
        <v>B+</v>
      </c>
      <c r="H4" s="3" t="str">
        <f t="shared" si="2"/>
        <v>PASS</v>
      </c>
    </row>
    <row r="5" spans="1:8" x14ac:dyDescent="0.35">
      <c r="A5" s="3">
        <v>1</v>
      </c>
      <c r="B5" s="3" t="s">
        <v>45</v>
      </c>
      <c r="C5" s="3" t="s">
        <v>14</v>
      </c>
      <c r="D5" s="3">
        <v>100</v>
      </c>
      <c r="E5" s="3">
        <v>84</v>
      </c>
      <c r="F5" s="4">
        <f t="shared" si="0"/>
        <v>84</v>
      </c>
      <c r="G5" s="3" t="str">
        <f t="shared" si="1"/>
        <v>A</v>
      </c>
      <c r="H5" s="3" t="str">
        <f t="shared" si="2"/>
        <v>PASS</v>
      </c>
    </row>
    <row r="6" spans="1:8" x14ac:dyDescent="0.35">
      <c r="A6" s="3">
        <v>1</v>
      </c>
      <c r="B6" s="3" t="s">
        <v>45</v>
      </c>
      <c r="C6" s="3" t="s">
        <v>15</v>
      </c>
      <c r="D6" s="3">
        <v>100</v>
      </c>
      <c r="E6" s="3">
        <v>90</v>
      </c>
      <c r="F6" s="4">
        <f t="shared" si="0"/>
        <v>90</v>
      </c>
      <c r="G6" s="3" t="str">
        <f t="shared" si="1"/>
        <v>A+</v>
      </c>
      <c r="H6" s="3" t="str">
        <f t="shared" si="2"/>
        <v>PASS</v>
      </c>
    </row>
    <row r="7" spans="1:8" x14ac:dyDescent="0.35">
      <c r="A7" s="3">
        <v>2</v>
      </c>
      <c r="B7" s="3" t="s">
        <v>46</v>
      </c>
      <c r="C7" s="3" t="s">
        <v>11</v>
      </c>
      <c r="D7" s="3">
        <v>100</v>
      </c>
      <c r="E7" s="3">
        <v>91</v>
      </c>
      <c r="F7" s="4">
        <f t="shared" si="0"/>
        <v>91</v>
      </c>
      <c r="G7" s="3" t="str">
        <f t="shared" si="1"/>
        <v>A+</v>
      </c>
      <c r="H7" s="3" t="str">
        <f t="shared" si="2"/>
        <v>PASS</v>
      </c>
    </row>
    <row r="8" spans="1:8" x14ac:dyDescent="0.35">
      <c r="A8" s="3">
        <v>2</v>
      </c>
      <c r="B8" s="3" t="s">
        <v>46</v>
      </c>
      <c r="C8" s="3" t="s">
        <v>12</v>
      </c>
      <c r="D8" s="3">
        <v>100</v>
      </c>
      <c r="E8" s="3">
        <v>94</v>
      </c>
      <c r="F8" s="4">
        <f t="shared" si="0"/>
        <v>94</v>
      </c>
      <c r="G8" s="3" t="str">
        <f t="shared" si="1"/>
        <v>A+</v>
      </c>
      <c r="H8" s="3" t="str">
        <f t="shared" si="2"/>
        <v>PASS</v>
      </c>
    </row>
    <row r="9" spans="1:8" x14ac:dyDescent="0.35">
      <c r="A9" s="3">
        <v>2</v>
      </c>
      <c r="B9" s="3" t="s">
        <v>46</v>
      </c>
      <c r="C9" s="3" t="s">
        <v>13</v>
      </c>
      <c r="D9" s="3">
        <v>100</v>
      </c>
      <c r="E9" s="3">
        <v>89</v>
      </c>
      <c r="F9" s="4">
        <f t="shared" si="0"/>
        <v>89</v>
      </c>
      <c r="G9" s="3" t="str">
        <f t="shared" si="1"/>
        <v>A</v>
      </c>
      <c r="H9" s="3" t="str">
        <f t="shared" si="2"/>
        <v>PASS</v>
      </c>
    </row>
    <row r="10" spans="1:8" x14ac:dyDescent="0.35">
      <c r="A10" s="3">
        <v>2</v>
      </c>
      <c r="B10" s="3" t="s">
        <v>41</v>
      </c>
      <c r="C10" s="3" t="s">
        <v>14</v>
      </c>
      <c r="D10" s="3">
        <v>100</v>
      </c>
      <c r="E10" s="3">
        <v>92</v>
      </c>
      <c r="F10" s="4">
        <f t="shared" si="0"/>
        <v>92</v>
      </c>
      <c r="G10" s="3" t="str">
        <f t="shared" si="1"/>
        <v>A+</v>
      </c>
      <c r="H10" s="3" t="str">
        <f t="shared" si="2"/>
        <v>PASS</v>
      </c>
    </row>
    <row r="11" spans="1:8" x14ac:dyDescent="0.35">
      <c r="A11" s="3">
        <v>2</v>
      </c>
      <c r="B11" s="3" t="s">
        <v>46</v>
      </c>
      <c r="C11" s="3" t="s">
        <v>15</v>
      </c>
      <c r="D11" s="3">
        <v>100</v>
      </c>
      <c r="E11" s="3">
        <v>96</v>
      </c>
      <c r="F11" s="4">
        <f t="shared" si="0"/>
        <v>96</v>
      </c>
      <c r="G11" s="3" t="str">
        <f t="shared" si="1"/>
        <v>A+</v>
      </c>
      <c r="H11" s="3" t="str">
        <f t="shared" si="2"/>
        <v>PASS</v>
      </c>
    </row>
    <row r="12" spans="1:8" x14ac:dyDescent="0.35">
      <c r="A12" s="3">
        <v>3</v>
      </c>
      <c r="B12" s="3" t="s">
        <v>47</v>
      </c>
      <c r="C12" s="3" t="s">
        <v>11</v>
      </c>
      <c r="D12" s="3">
        <v>100</v>
      </c>
      <c r="E12" s="3">
        <v>78</v>
      </c>
      <c r="F12" s="4">
        <f t="shared" si="0"/>
        <v>78</v>
      </c>
      <c r="G12" s="3" t="str">
        <f t="shared" si="1"/>
        <v>B+</v>
      </c>
      <c r="H12" s="3" t="str">
        <f t="shared" si="2"/>
        <v>PASS</v>
      </c>
    </row>
    <row r="13" spans="1:8" x14ac:dyDescent="0.35">
      <c r="A13" s="3">
        <v>3</v>
      </c>
      <c r="B13" s="3" t="s">
        <v>42</v>
      </c>
      <c r="C13" s="3" t="s">
        <v>12</v>
      </c>
      <c r="D13" s="3">
        <v>100</v>
      </c>
      <c r="E13" s="3">
        <v>85</v>
      </c>
      <c r="F13" s="4">
        <f t="shared" si="0"/>
        <v>85</v>
      </c>
      <c r="G13" s="3" t="str">
        <f t="shared" si="1"/>
        <v>A</v>
      </c>
      <c r="H13" s="3" t="str">
        <f t="shared" si="2"/>
        <v>PASS</v>
      </c>
    </row>
    <row r="14" spans="1:8" x14ac:dyDescent="0.35">
      <c r="A14" s="3">
        <v>3</v>
      </c>
      <c r="B14" s="3" t="s">
        <v>42</v>
      </c>
      <c r="C14" s="3" t="s">
        <v>13</v>
      </c>
      <c r="D14" s="3">
        <v>100</v>
      </c>
      <c r="E14" s="3">
        <v>81</v>
      </c>
      <c r="F14" s="4">
        <f t="shared" si="0"/>
        <v>81</v>
      </c>
      <c r="G14" s="3" t="str">
        <f t="shared" si="1"/>
        <v>A</v>
      </c>
      <c r="H14" s="3" t="str">
        <f t="shared" si="2"/>
        <v>PASS</v>
      </c>
    </row>
    <row r="15" spans="1:8" x14ac:dyDescent="0.35">
      <c r="A15" s="3">
        <v>3</v>
      </c>
      <c r="B15" s="3" t="s">
        <v>42</v>
      </c>
      <c r="C15" s="3" t="s">
        <v>14</v>
      </c>
      <c r="D15" s="3">
        <v>100</v>
      </c>
      <c r="E15" s="3">
        <v>79</v>
      </c>
      <c r="F15" s="4">
        <f t="shared" si="0"/>
        <v>79</v>
      </c>
      <c r="G15" s="3" t="str">
        <f t="shared" si="1"/>
        <v>B+</v>
      </c>
      <c r="H15" s="3" t="str">
        <f t="shared" si="2"/>
        <v>PASS</v>
      </c>
    </row>
    <row r="16" spans="1:8" x14ac:dyDescent="0.35">
      <c r="A16" s="3">
        <v>3</v>
      </c>
      <c r="B16" s="3" t="s">
        <v>42</v>
      </c>
      <c r="C16" s="3" t="s">
        <v>15</v>
      </c>
      <c r="D16" s="3">
        <v>100</v>
      </c>
      <c r="E16" s="3">
        <v>88</v>
      </c>
      <c r="F16" s="4">
        <f t="shared" si="0"/>
        <v>88</v>
      </c>
      <c r="G16" s="3" t="str">
        <f t="shared" si="1"/>
        <v>A</v>
      </c>
      <c r="H16" s="3" t="str">
        <f t="shared" si="2"/>
        <v>PASS</v>
      </c>
    </row>
    <row r="17" spans="1:8" x14ac:dyDescent="0.35">
      <c r="A17" s="3">
        <v>4</v>
      </c>
      <c r="B17" s="3" t="s">
        <v>43</v>
      </c>
      <c r="C17" s="3" t="s">
        <v>11</v>
      </c>
      <c r="D17" s="3">
        <v>100</v>
      </c>
      <c r="E17" s="3">
        <v>86</v>
      </c>
      <c r="F17" s="4">
        <f t="shared" si="0"/>
        <v>86</v>
      </c>
      <c r="G17" s="3" t="str">
        <f t="shared" si="1"/>
        <v>A</v>
      </c>
      <c r="H17" s="3" t="str">
        <f t="shared" si="2"/>
        <v>PASS</v>
      </c>
    </row>
    <row r="18" spans="1:8" x14ac:dyDescent="0.35">
      <c r="A18" s="3">
        <v>4</v>
      </c>
      <c r="B18" s="3" t="s">
        <v>43</v>
      </c>
      <c r="C18" s="3" t="s">
        <v>12</v>
      </c>
      <c r="D18" s="3">
        <v>100</v>
      </c>
      <c r="E18" s="3">
        <v>83</v>
      </c>
      <c r="F18" s="4">
        <f t="shared" si="0"/>
        <v>83</v>
      </c>
      <c r="G18" s="3" t="str">
        <f t="shared" si="1"/>
        <v>A</v>
      </c>
      <c r="H18" s="3" t="str">
        <f t="shared" si="2"/>
        <v>PASS</v>
      </c>
    </row>
    <row r="19" spans="1:8" x14ac:dyDescent="0.35">
      <c r="A19" s="3">
        <v>4</v>
      </c>
      <c r="B19" s="3" t="s">
        <v>43</v>
      </c>
      <c r="C19" s="3" t="s">
        <v>13</v>
      </c>
      <c r="D19" s="3">
        <v>100</v>
      </c>
      <c r="E19" s="3">
        <v>90</v>
      </c>
      <c r="F19" s="4">
        <f t="shared" si="0"/>
        <v>90</v>
      </c>
      <c r="G19" s="3" t="str">
        <f t="shared" si="1"/>
        <v>A+</v>
      </c>
      <c r="H19" s="3" t="str">
        <f t="shared" si="2"/>
        <v>PASS</v>
      </c>
    </row>
    <row r="20" spans="1:8" x14ac:dyDescent="0.35">
      <c r="A20" s="3">
        <v>4</v>
      </c>
      <c r="B20" s="3" t="s">
        <v>43</v>
      </c>
      <c r="C20" s="3" t="s">
        <v>14</v>
      </c>
      <c r="D20" s="3">
        <v>100</v>
      </c>
      <c r="E20" s="3">
        <v>87</v>
      </c>
      <c r="F20" s="4">
        <f t="shared" si="0"/>
        <v>87</v>
      </c>
      <c r="G20" s="3" t="str">
        <f t="shared" si="1"/>
        <v>A</v>
      </c>
      <c r="H20" s="3" t="str">
        <f t="shared" si="2"/>
        <v>PASS</v>
      </c>
    </row>
    <row r="21" spans="1:8" x14ac:dyDescent="0.35">
      <c r="A21" s="3">
        <v>4</v>
      </c>
      <c r="B21" s="3" t="s">
        <v>48</v>
      </c>
      <c r="C21" s="3" t="s">
        <v>15</v>
      </c>
      <c r="D21" s="3">
        <v>100</v>
      </c>
      <c r="E21" s="3">
        <v>91</v>
      </c>
      <c r="F21" s="4">
        <f t="shared" si="0"/>
        <v>91</v>
      </c>
      <c r="G21" s="3" t="str">
        <f t="shared" si="1"/>
        <v>A+</v>
      </c>
      <c r="H21" s="3" t="str">
        <f t="shared" si="2"/>
        <v>PASS</v>
      </c>
    </row>
    <row r="22" spans="1:8" x14ac:dyDescent="0.35">
      <c r="A22" s="3">
        <v>5</v>
      </c>
      <c r="B22" s="3" t="s">
        <v>44</v>
      </c>
      <c r="C22" s="3" t="s">
        <v>11</v>
      </c>
      <c r="D22" s="3">
        <v>100</v>
      </c>
      <c r="E22" s="3">
        <v>74</v>
      </c>
      <c r="F22" s="4">
        <f t="shared" si="0"/>
        <v>74</v>
      </c>
      <c r="G22" s="3" t="str">
        <f t="shared" si="1"/>
        <v>B+</v>
      </c>
      <c r="H22" s="3" t="str">
        <f t="shared" si="2"/>
        <v>PASS</v>
      </c>
    </row>
    <row r="23" spans="1:8" x14ac:dyDescent="0.35">
      <c r="A23" s="3">
        <v>5</v>
      </c>
      <c r="B23" s="3" t="s">
        <v>44</v>
      </c>
      <c r="C23" s="3" t="s">
        <v>12</v>
      </c>
      <c r="D23" s="3">
        <v>100</v>
      </c>
      <c r="E23" s="3">
        <v>80</v>
      </c>
      <c r="F23" s="4">
        <f t="shared" si="0"/>
        <v>80</v>
      </c>
      <c r="G23" s="3" t="str">
        <f t="shared" si="1"/>
        <v>A</v>
      </c>
      <c r="H23" s="3" t="str">
        <f t="shared" si="2"/>
        <v>PASS</v>
      </c>
    </row>
    <row r="24" spans="1:8" x14ac:dyDescent="0.35">
      <c r="A24" s="3">
        <v>5</v>
      </c>
      <c r="B24" s="3" t="s">
        <v>44</v>
      </c>
      <c r="C24" s="3" t="s">
        <v>13</v>
      </c>
      <c r="D24" s="3">
        <v>100</v>
      </c>
      <c r="E24" s="3">
        <v>77</v>
      </c>
      <c r="F24" s="4">
        <f t="shared" si="0"/>
        <v>77</v>
      </c>
      <c r="G24" s="3" t="str">
        <f t="shared" si="1"/>
        <v>B+</v>
      </c>
      <c r="H24" s="3" t="str">
        <f t="shared" si="2"/>
        <v>PASS</v>
      </c>
    </row>
    <row r="25" spans="1:8" x14ac:dyDescent="0.35">
      <c r="A25" s="3">
        <v>5</v>
      </c>
      <c r="B25" s="3" t="s">
        <v>44</v>
      </c>
      <c r="C25" s="3" t="s">
        <v>14</v>
      </c>
      <c r="D25" s="3">
        <v>100</v>
      </c>
      <c r="E25" s="3">
        <v>82</v>
      </c>
      <c r="F25" s="4">
        <f t="shared" si="0"/>
        <v>82</v>
      </c>
      <c r="G25" s="3" t="str">
        <f t="shared" si="1"/>
        <v>A</v>
      </c>
      <c r="H25" s="3" t="str">
        <f t="shared" si="2"/>
        <v>PASS</v>
      </c>
    </row>
    <row r="26" spans="1:8" x14ac:dyDescent="0.35">
      <c r="A26" s="3">
        <v>5</v>
      </c>
      <c r="B26" s="3" t="s">
        <v>44</v>
      </c>
      <c r="C26" s="3" t="s">
        <v>15</v>
      </c>
      <c r="D26" s="3">
        <v>100</v>
      </c>
      <c r="E26" s="3">
        <v>85</v>
      </c>
      <c r="F26" s="4">
        <f t="shared" si="0"/>
        <v>85</v>
      </c>
      <c r="G26" s="3" t="str">
        <f t="shared" si="1"/>
        <v>A</v>
      </c>
      <c r="H26" s="3" t="str">
        <f t="shared" si="2"/>
        <v>PASS</v>
      </c>
    </row>
  </sheetData>
  <autoFilter ref="A1:H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4.5" x14ac:dyDescent="0.35"/>
  <cols>
    <col min="1" max="1" width="20" customWidth="1"/>
    <col min="2" max="2" width="90" customWidth="1"/>
  </cols>
  <sheetData>
    <row r="1" spans="1:2" ht="21" x14ac:dyDescent="0.5">
      <c r="A1" s="9" t="s">
        <v>33</v>
      </c>
    </row>
    <row r="3" spans="1:2" x14ac:dyDescent="0.35">
      <c r="A3" t="s">
        <v>34</v>
      </c>
      <c r="B3" t="s">
        <v>35</v>
      </c>
    </row>
    <row r="5" spans="1:2" x14ac:dyDescent="0.35">
      <c r="A5" t="s">
        <v>36</v>
      </c>
      <c r="B5" t="s">
        <v>37</v>
      </c>
    </row>
    <row r="7" spans="1:2" x14ac:dyDescent="0.35">
      <c r="A7" t="s">
        <v>38</v>
      </c>
      <c r="B7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Mark Table</vt:lpstr>
      <vt:lpstr>Detailed Calculations</vt:lpstr>
      <vt:lpstr>Exercise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sumanasri</cp:lastModifiedBy>
  <dcterms:created xsi:type="dcterms:W3CDTF">2026-10-07T03:19:10Z</dcterms:created>
  <dcterms:modified xsi:type="dcterms:W3CDTF">2026-10-07T03:30:31Z</dcterms:modified>
</cp:coreProperties>
</file>